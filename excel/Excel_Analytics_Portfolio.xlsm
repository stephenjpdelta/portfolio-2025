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steve\Documents\portfolio-2025\excel\"/>
    </mc:Choice>
  </mc:AlternateContent>
  <xr:revisionPtr revIDLastSave="0" documentId="8_{6E0D6114-4CF3-48E5-B92A-6AD75E0366C1}" xr6:coauthVersionLast="47" xr6:coauthVersionMax="47" xr10:uidLastSave="{00000000-0000-0000-0000-000000000000}"/>
  <bookViews>
    <workbookView xWindow="-108" yWindow="-108" windowWidth="23256" windowHeight="12456" tabRatio="999" xr2:uid="{1EE106AF-4154-4E07-A859-B6100803B1EB}"/>
  </bookViews>
  <sheets>
    <sheet name="Dashboard" sheetId="2" r:id="rId1"/>
    <sheet name="Pivot_Analysis" sheetId="7" r:id="rId2"/>
    <sheet name="Sales_Cleaned" sheetId="20" r:id="rId3"/>
    <sheet name="Advanced_Filtering" sheetId="9" r:id="rId4"/>
    <sheet name="Lookups" sheetId="10" r:id="rId5"/>
    <sheet name="Products" sheetId="17" r:id="rId6"/>
    <sheet name="Customer" sheetId="18" r:id="rId7"/>
    <sheet name="Transactions" sheetId="16" r:id="rId8"/>
    <sheet name="Calculations" sheetId="13" r:id="rId9"/>
  </sheets>
  <definedNames>
    <definedName name="_xlnm._FilterDatabase" localSheetId="2" hidden="1">Sales_Cleaned!$A$1:$M$16</definedName>
    <definedName name="_xlnm.Criteria" localSheetId="3">Advanced_Filtering!$A$1:$B$2</definedName>
    <definedName name="ExternalData_1" localSheetId="7" hidden="1">Transactions!$A$1:$H$16</definedName>
    <definedName name="ExternalData_2" localSheetId="5" hidden="1">Products!$A$1:$C$5</definedName>
    <definedName name="ExternalData_2" localSheetId="2" hidden="1">Sales_Cleaned!$A$1:$M$16</definedName>
    <definedName name="ExternalData_3" localSheetId="6" hidden="1">'Customer'!$A$1:$D$6</definedName>
    <definedName name="_xlnm.Extract" localSheetId="3">Advanced_Filtering!$A$6:$M$6</definedName>
    <definedName name="Slicer_ProductID">#N/A</definedName>
    <definedName name="Slicer_Region">#N/A</definedName>
    <definedName name="Slicer_Region1">#N/A</definedName>
    <definedName name="TARGET_MONTHLY_REVENUE">Calculations!$B$2</definedName>
    <definedName name="VAT_RATE">Calculations!$B$1</definedName>
    <definedName name="VIP_THRESHOLD">Calculations!$B$4</definedName>
  </definedNames>
  <calcPr calcId="191029"/>
  <pivotCaches>
    <pivotCache cacheId="18"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c r="B1" i="2"/>
  <c r="B4" i="2" s="1"/>
  <c r="D3" i="10"/>
  <c r="D2" i="10"/>
  <c r="B3"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70A745-1F02-4EAB-8CE0-DDA4640E6CF3}" keepAlive="1" name="Query - Customer" description="Connection to the 'Customer' query in the workbook." type="5" refreshedVersion="8" background="1" saveData="1">
    <dbPr connection="Provider=Microsoft.Mashup.OleDb.1;Data Source=$Workbook$;Location=Customer;Extended Properties=&quot;&quot;" command="SELECT * FROM [Customer]"/>
  </connection>
  <connection id="2" xr16:uid="{34C93BC5-2E01-4D6F-8133-69D96BCEE218}"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3" xr16:uid="{1DF35EF2-5CD1-4B87-92CD-89BDA9CC2185}" keepAlive="1" name="Query - Sales_Cleaned" description="Connection to the 'Sales_Cleaned' query in the workbook." type="5" refreshedVersion="8" background="1" saveData="1">
    <dbPr connection="Provider=Microsoft.Mashup.OleDb.1;Data Source=$Workbook$;Location=Sales_Cleaned;Extended Properties=&quot;&quot;" command="SELECT * FROM [Sales_Cleaned]"/>
  </connection>
  <connection id="4" xr16:uid="{44C39036-5D53-4D6B-AD16-5F0EEC4C969A}" keepAlive="1" name="Query - transactions" description="Connection to the 'transactions' query in the workbook." type="5" refreshedVersion="8" background="1" saveData="1">
    <dbPr connection="Provider=Microsoft.Mashup.OleDb.1;Data Source=$Workbook$;Location=transactions;Extended Properties=&quot;&quot;" command="SELECT * FROM [transactions]"/>
  </connection>
</connections>
</file>

<file path=xl/sharedStrings.xml><?xml version="1.0" encoding="utf-8"?>
<sst xmlns="http://schemas.openxmlformats.org/spreadsheetml/2006/main" count="250" uniqueCount="85">
  <si>
    <t>TransactionID</t>
  </si>
  <si>
    <t>Date</t>
  </si>
  <si>
    <t>CustomerID</t>
  </si>
  <si>
    <t>ProductID</t>
  </si>
  <si>
    <t>Region</t>
  </si>
  <si>
    <t>Quantity</t>
  </si>
  <si>
    <t>UnitPrice</t>
  </si>
  <si>
    <t>CostPerUnit</t>
  </si>
  <si>
    <t>Revenue</t>
  </si>
  <si>
    <t>Cost</t>
  </si>
  <si>
    <t>Profit</t>
  </si>
  <si>
    <t>Margin</t>
  </si>
  <si>
    <t>Customer_Type</t>
  </si>
  <si>
    <t>T001</t>
  </si>
  <si>
    <t>C001</t>
  </si>
  <si>
    <t>P001</t>
  </si>
  <si>
    <t>North</t>
  </si>
  <si>
    <t>VIP</t>
  </si>
  <si>
    <t>T002</t>
  </si>
  <si>
    <t>C002</t>
  </si>
  <si>
    <t>P003</t>
  </si>
  <si>
    <t>South</t>
  </si>
  <si>
    <t>T003</t>
  </si>
  <si>
    <t>C003</t>
  </si>
  <si>
    <t>P002</t>
  </si>
  <si>
    <t>East</t>
  </si>
  <si>
    <t>Standard</t>
  </si>
  <si>
    <t>T004</t>
  </si>
  <si>
    <t>T005</t>
  </si>
  <si>
    <t>C004</t>
  </si>
  <si>
    <t>West</t>
  </si>
  <si>
    <t>T006</t>
  </si>
  <si>
    <t>C005</t>
  </si>
  <si>
    <t>P004</t>
  </si>
  <si>
    <t>T007</t>
  </si>
  <si>
    <t>T008</t>
  </si>
  <si>
    <t>T009</t>
  </si>
  <si>
    <t>T010</t>
  </si>
  <si>
    <t>T011</t>
  </si>
  <si>
    <t>T012</t>
  </si>
  <si>
    <t>T013</t>
  </si>
  <si>
    <t>T014</t>
  </si>
  <si>
    <t>T015</t>
  </si>
  <si>
    <t>ProductName</t>
  </si>
  <si>
    <t>Category</t>
  </si>
  <si>
    <t>Premium Laptop</t>
  </si>
  <si>
    <t>Hardware</t>
  </si>
  <si>
    <t>Wireless Mouse</t>
  </si>
  <si>
    <t>Accessories</t>
  </si>
  <si>
    <t>4K Monitor</t>
  </si>
  <si>
    <t>Office Chair</t>
  </si>
  <si>
    <t>Furniture</t>
  </si>
  <si>
    <t>CustomerName</t>
  </si>
  <si>
    <t>City</t>
  </si>
  <si>
    <t>Alpha Ltd</t>
  </si>
  <si>
    <t>Manchester</t>
  </si>
  <si>
    <t>Beta Plc</t>
  </si>
  <si>
    <t>London</t>
  </si>
  <si>
    <t>Gamma Corp</t>
  </si>
  <si>
    <t>Leeds</t>
  </si>
  <si>
    <t>Delta Co</t>
  </si>
  <si>
    <t>Bristol</t>
  </si>
  <si>
    <t>Epsilon Inc</t>
  </si>
  <si>
    <t>Birmingham</t>
  </si>
  <si>
    <t>Row Labels</t>
  </si>
  <si>
    <t>Grand Total</t>
  </si>
  <si>
    <t>Sum of Revenue</t>
  </si>
  <si>
    <t>Value</t>
  </si>
  <si>
    <t>&gt;500</t>
  </si>
  <si>
    <t>Input_ID</t>
  </si>
  <si>
    <t>Result</t>
  </si>
  <si>
    <t>Customer Name</t>
  </si>
  <si>
    <t>Product Name</t>
  </si>
  <si>
    <t>Lookup</t>
  </si>
  <si>
    <t>LookupType</t>
  </si>
  <si>
    <t>XLOOKUP</t>
  </si>
  <si>
    <t>INDEX/MATCH</t>
  </si>
  <si>
    <t>VAT_Rate</t>
  </si>
  <si>
    <t>Target_Monthly_Revenue</t>
  </si>
  <si>
    <t>Target_Margin</t>
  </si>
  <si>
    <t>VIP_Threshold</t>
  </si>
  <si>
    <t>Total Revenue</t>
  </si>
  <si>
    <t>Revenue Target</t>
  </si>
  <si>
    <t>Revenue Variance</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</si>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</sst>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4"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rgb="FF000000"/>
      <name val="Aptos Narrow"/>
      <family val="2"/>
    </font>
  </fonts>
  <fills count="3">
    <fill>
      <patternFill patternType="none"/>
    </fill>
    <fill>
      <patternFill patternType="gray125"/>
    </fill>
    <fill>
      <patternFill patternType="solid">
        <fgColor theme="4"/>
        <bgColor theme="4"/>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14" fontId="0" fillId="0" borderId="0" xfId="0" applyNumberFormat="1"/>
    <xf numFmtId="0" fontId="1" fillId="2" borderId="1" xfId="0" applyFont="1" applyFill="1" applyBorder="1"/>
    <xf numFmtId="0" fontId="1" fillId="2" borderId="2" xfId="0" applyFont="1" applyFill="1" applyBorder="1"/>
    <xf numFmtId="0" fontId="1" fillId="2" borderId="3" xfId="0" applyFont="1" applyFill="1" applyBorder="1"/>
    <xf numFmtId="9" fontId="0" fillId="0" borderId="0" xfId="0" applyNumberFormat="1"/>
    <xf numFmtId="0" fontId="0" fillId="0" borderId="0" xfId="0" pivotButton="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0" borderId="0" xfId="0" applyFont="1" applyAlignment="1">
      <alignment horizontal="right" vertical="center" wrapText="1"/>
    </xf>
    <xf numFmtId="164" fontId="0" fillId="0" borderId="0" xfId="0" applyNumberFormat="1" applyAlignment="1">
      <alignment horizontal="center" vertical="center" wrapText="1"/>
    </xf>
    <xf numFmtId="9" fontId="0" fillId="0" borderId="0" xfId="0" applyNumberFormat="1" applyAlignment="1">
      <alignment horizontal="center" vertical="center" wrapText="1"/>
    </xf>
    <xf numFmtId="0" fontId="0" fillId="0" borderId="4" xfId="0" applyBorder="1"/>
    <xf numFmtId="0" fontId="2" fillId="0" borderId="4" xfId="0" applyFont="1" applyBorder="1"/>
    <xf numFmtId="164" fontId="0" fillId="0" borderId="4" xfId="0" applyNumberFormat="1" applyBorder="1"/>
    <xf numFmtId="0" fontId="0" fillId="0" borderId="0" xfId="0" applyNumberFormat="1"/>
  </cellXfs>
  <cellStyles count="1">
    <cellStyle name="Normal" xfId="0" builtinId="0"/>
  </cellStyles>
  <dxfs count="24">
    <dxf>
      <numFmt numFmtId="19" formatCode="dd/mm/yyyy"/>
    </dxf>
    <dxf>
      <numFmt numFmtId="13" formatCode="0%"/>
    </dxf>
    <dxf>
      <numFmt numFmtId="19" formatCode="dd/mm/yyyy"/>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[Excel_Analytics_Portfolio.xlsm]Pivot_Analysis!PivotTable1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Pivot_Analysis!$C$3</c:f>
              <c:strCache>
                <c:ptCount val="1"/>
                <c:pt idx="0">
                  <c:v>Total</c:v>
                </c:pt>
              </c:strCache>
            </c:strRef>
          </c:tx>
          <c:spPr>
            <a:solidFill>
              <a:schemeClr val="accent1"/>
            </a:solidFill>
            <a:ln>
              <a:noFill/>
            </a:ln>
            <a:effectLst/>
          </c:spPr>
          <c:invertIfNegative val="0"/>
          <c:cat>
            <c:strRef>
              <c:f>Pivot_Analysis!$B$4:$B$8</c:f>
              <c:strCache>
                <c:ptCount val="4"/>
                <c:pt idx="0">
                  <c:v>South</c:v>
                </c:pt>
                <c:pt idx="1">
                  <c:v>North</c:v>
                </c:pt>
                <c:pt idx="2">
                  <c:v>East</c:v>
                </c:pt>
                <c:pt idx="3">
                  <c:v>West</c:v>
                </c:pt>
              </c:strCache>
            </c:strRef>
          </c:cat>
          <c:val>
            <c:numRef>
              <c:f>Pivot_Analysis!$C$4:$C$8</c:f>
              <c:numCache>
                <c:formatCode>General</c:formatCode>
                <c:ptCount val="4"/>
                <c:pt idx="0">
                  <c:v>2400</c:v>
                </c:pt>
                <c:pt idx="1">
                  <c:v>1750</c:v>
                </c:pt>
                <c:pt idx="2">
                  <c:v>1160</c:v>
                </c:pt>
                <c:pt idx="3">
                  <c:v>1110</c:v>
                </c:pt>
              </c:numCache>
            </c:numRef>
          </c:val>
          <c:extLst>
            <c:ext xmlns:c16="http://schemas.microsoft.com/office/drawing/2014/chart" uri="{C3380CC4-5D6E-409C-BE32-E72D297353CC}">
              <c16:uniqueId val="{00000000-7D50-4B78-A5DE-F2B0F89044FA}"/>
            </c:ext>
          </c:extLst>
        </c:ser>
        <c:dLbls>
          <c:showLegendKey val="0"/>
          <c:showVal val="0"/>
          <c:showCatName val="0"/>
          <c:showSerName val="0"/>
          <c:showPercent val="0"/>
          <c:showBubbleSize val="0"/>
        </c:dLbls>
        <c:gapWidth val="219"/>
        <c:overlap val="-27"/>
        <c:axId val="531000256"/>
        <c:axId val="530993056"/>
      </c:barChart>
      <c:catAx>
        <c:axId val="53100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993056"/>
        <c:crosses val="autoZero"/>
        <c:auto val="1"/>
        <c:lblAlgn val="ctr"/>
        <c:lblOffset val="100"/>
        <c:noMultiLvlLbl val="0"/>
      </c:catAx>
      <c:valAx>
        <c:axId val="530993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00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[Excel_Analytics_Portfolio.xlsm]Pivot_Analysis!PivotTable2</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Pivot_Analysis!$C$11</c:f>
              <c:strCache>
                <c:ptCount val="1"/>
                <c:pt idx="0">
                  <c:v>Total</c:v>
                </c:pt>
              </c:strCache>
            </c:strRef>
          </c:tx>
          <c:spPr>
            <a:solidFill>
              <a:schemeClr val="accent1"/>
            </a:solidFill>
            <a:ln>
              <a:noFill/>
            </a:ln>
            <a:effectLst/>
          </c:spPr>
          <c:invertIfNegative val="0"/>
          <c:cat>
            <c:strRef>
              <c:f>Pivot_Analysis!$B$12:$B$17</c:f>
              <c:strCache>
                <c:ptCount val="5"/>
                <c:pt idx="0">
                  <c:v>C002</c:v>
                </c:pt>
                <c:pt idx="1">
                  <c:v>C001</c:v>
                </c:pt>
                <c:pt idx="2">
                  <c:v>C005</c:v>
                </c:pt>
                <c:pt idx="3">
                  <c:v>C003</c:v>
                </c:pt>
                <c:pt idx="4">
                  <c:v>C004</c:v>
                </c:pt>
              </c:strCache>
            </c:strRef>
          </c:cat>
          <c:val>
            <c:numRef>
              <c:f>Pivot_Analysis!$C$12:$C$17</c:f>
              <c:numCache>
                <c:formatCode>General</c:formatCode>
                <c:ptCount val="5"/>
                <c:pt idx="0">
                  <c:v>1530</c:v>
                </c:pt>
                <c:pt idx="1">
                  <c:v>1350</c:v>
                </c:pt>
                <c:pt idx="2">
                  <c:v>1270</c:v>
                </c:pt>
                <c:pt idx="3">
                  <c:v>1160</c:v>
                </c:pt>
                <c:pt idx="4">
                  <c:v>1110</c:v>
                </c:pt>
              </c:numCache>
            </c:numRef>
          </c:val>
          <c:extLst>
            <c:ext xmlns:c16="http://schemas.microsoft.com/office/drawing/2014/chart" uri="{C3380CC4-5D6E-409C-BE32-E72D297353CC}">
              <c16:uniqueId val="{00000000-9074-48D1-8800-29FFE2C0438C}"/>
            </c:ext>
          </c:extLst>
        </c:ser>
        <c:dLbls>
          <c:showLegendKey val="0"/>
          <c:showVal val="0"/>
          <c:showCatName val="0"/>
          <c:showSerName val="0"/>
          <c:showPercent val="0"/>
          <c:showBubbleSize val="0"/>
        </c:dLbls>
        <c:gapWidth val="182"/>
        <c:axId val="683831872"/>
        <c:axId val="683832352"/>
      </c:barChart>
      <c:catAx>
        <c:axId val="683831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832352"/>
        <c:crosses val="autoZero"/>
        <c:auto val="1"/>
        <c:lblAlgn val="ctr"/>
        <c:lblOffset val="100"/>
        <c:noMultiLvlLbl val="0"/>
      </c:catAx>
      <c:valAx>
        <c:axId val="68383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83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563880</xdr:colOff>
      <xdr:row>5</xdr:row>
      <xdr:rowOff>30480</xdr:rowOff>
    </xdr:from>
    <xdr:to>
      <xdr:col>9</xdr:col>
      <xdr:colOff>563880</xdr:colOff>
      <xdr:row>19</xdr:row>
      <xdr:rowOff>51435</xdr:rowOff>
    </xdr:to>
    <mc:AlternateContent xmlns:mc="http://schemas.openxmlformats.org/markup-compatibility/2006" xmlns:a14="http://schemas.microsoft.com/office/drawing/2010/main">
      <mc:Choice Requires="a14">
        <xdr:graphicFrame macro="">
          <xdr:nvGraphicFramePr>
            <xdr:cNvPr id="2" name="ProductID">
              <a:extLst>
                <a:ext uri="{FF2B5EF4-FFF2-40B4-BE49-F238E27FC236}">
                  <a16:creationId xmlns:a16="http://schemas.microsoft.com/office/drawing/2014/main" id="{5C4AC8F6-E203-CAAF-B633-C972D9A5AB87}"/>
                </a:ext>
              </a:extLst>
            </xdr:cNvPr>
            <xdr:cNvGraphicFramePr/>
          </xdr:nvGraphicFramePr>
          <xdr:xfrm>
            <a:off x="0" y="0"/>
            <a:ext cx="0" cy="0"/>
          </xdr:xfrm>
          <a:graphic>
            <a:graphicData uri="http://schemas.microsoft.com/office/drawing/2010/slicer">
              <sle:slicer xmlns:sle="http://schemas.microsoft.com/office/drawing/2010/slicer" name="ProductID"/>
            </a:graphicData>
          </a:graphic>
        </xdr:graphicFrame>
      </mc:Choice>
      <mc:Fallback xmlns="">
        <xdr:sp macro="" textlink="">
          <xdr:nvSpPr>
            <xdr:cNvPr id="0" name=""/>
            <xdr:cNvSpPr>
              <a:spLocks noTextEdit="1"/>
            </xdr:cNvSpPr>
          </xdr:nvSpPr>
          <xdr:spPr>
            <a:xfrm>
              <a:off x="5212080" y="94488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45720</xdr:colOff>
      <xdr:row>5</xdr:row>
      <xdr:rowOff>38100</xdr:rowOff>
    </xdr:from>
    <xdr:to>
      <xdr:col>13</xdr:col>
      <xdr:colOff>45720</xdr:colOff>
      <xdr:row>19</xdr:row>
      <xdr:rowOff>59055</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5DE5EB55-69BA-7804-8841-57B392EDF31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132320" y="95250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129540</xdr:colOff>
      <xdr:row>4</xdr:row>
      <xdr:rowOff>118110</xdr:rowOff>
    </xdr:from>
    <xdr:to>
      <xdr:col>6</xdr:col>
      <xdr:colOff>441960</xdr:colOff>
      <xdr:row>19</xdr:row>
      <xdr:rowOff>118110</xdr:rowOff>
    </xdr:to>
    <xdr:graphicFrame macro="">
      <xdr:nvGraphicFramePr>
        <xdr:cNvPr id="4" name="Chart 3">
          <a:extLst>
            <a:ext uri="{FF2B5EF4-FFF2-40B4-BE49-F238E27FC236}">
              <a16:creationId xmlns:a16="http://schemas.microsoft.com/office/drawing/2014/main" id="{2F09FFA9-851C-61FE-43D5-201732145C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525780</xdr:colOff>
      <xdr:row>20</xdr:row>
      <xdr:rowOff>152400</xdr:rowOff>
    </xdr:from>
    <xdr:to>
      <xdr:col>9</xdr:col>
      <xdr:colOff>525780</xdr:colOff>
      <xdr:row>34</xdr:row>
      <xdr:rowOff>173355</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CB59B23-5CCA-3666-D033-6684FCFB30A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173980" y="381000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106680</xdr:colOff>
      <xdr:row>20</xdr:row>
      <xdr:rowOff>125730</xdr:rowOff>
    </xdr:from>
    <xdr:to>
      <xdr:col>6</xdr:col>
      <xdr:colOff>419100</xdr:colOff>
      <xdr:row>35</xdr:row>
      <xdr:rowOff>125730</xdr:rowOff>
    </xdr:to>
    <xdr:graphicFrame macro="">
      <xdr:nvGraphicFramePr>
        <xdr:cNvPr id="6" name="Chart 5">
          <a:extLst>
            <a:ext uri="{FF2B5EF4-FFF2-40B4-BE49-F238E27FC236}">
              <a16:creationId xmlns:a16="http://schemas.microsoft.com/office/drawing/2014/main" id="{024EDC7D-7D55-327F-2579-A7A2754EAE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4</xdr:col>
          <xdr:colOff>129540</xdr:colOff>
          <xdr:row>1</xdr:row>
          <xdr:rowOff>0</xdr:rowOff>
        </xdr:from>
        <xdr:to>
          <xdr:col>6</xdr:col>
          <xdr:colOff>160020</xdr:colOff>
          <xdr:row>2</xdr:row>
          <xdr:rowOff>175260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Reset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phen Pryce" refreshedDate="46001.809639699073" createdVersion="8" refreshedVersion="8" minRefreshableVersion="3" recordCount="15" xr:uid="{3A4EC40E-D594-4A14-B69B-06324DC29FD0}">
  <cacheSource type="worksheet">
    <worksheetSource name="Sales_Cleaned"/>
  </cacheSource>
  <cacheFields count="13">
    <cacheField name="TransactionID" numFmtId="0">
      <sharedItems/>
    </cacheField>
    <cacheField name="Date" numFmtId="14">
      <sharedItems containsSemiMixedTypes="0" containsNonDate="0" containsDate="1" containsString="0" minDate="2025-01-03T00:00:00" maxDate="2025-01-26T00:00:00"/>
    </cacheField>
    <cacheField name="CustomerID" numFmtId="0">
      <sharedItems count="5">
        <s v="C001"/>
        <s v="C002"/>
        <s v="C003"/>
        <s v="C004"/>
        <s v="C005"/>
      </sharedItems>
    </cacheField>
    <cacheField name="ProductID" numFmtId="0">
      <sharedItems count="4">
        <s v="P001"/>
        <s v="P003"/>
        <s v="P002"/>
        <s v="P004"/>
      </sharedItems>
    </cacheField>
    <cacheField name="Region" numFmtId="0">
      <sharedItems count="4">
        <s v="North"/>
        <s v="South"/>
        <s v="East"/>
        <s v="West"/>
      </sharedItems>
    </cacheField>
    <cacheField name="Quantity" numFmtId="0">
      <sharedItems containsSemiMixedTypes="0" containsString="0" containsNumber="1" containsInteger="1" minValue="1" maxValue="10"/>
    </cacheField>
    <cacheField name="UnitPrice" numFmtId="0">
      <sharedItems containsSemiMixedTypes="0" containsString="0" containsNumber="1" containsInteger="1" minValue="50" maxValue="300"/>
    </cacheField>
    <cacheField name="CostPerUnit" numFmtId="0">
      <sharedItems containsSemiMixedTypes="0" containsString="0" containsNumber="1" containsInteger="1" minValue="30" maxValue="200"/>
    </cacheField>
    <cacheField name="Revenue" numFmtId="0">
      <sharedItems containsSemiMixedTypes="0" containsString="0" containsNumber="1" containsInteger="1" minValue="120" maxValue="630"/>
    </cacheField>
    <cacheField name="Cost" numFmtId="0">
      <sharedItems containsSemiMixedTypes="0" containsString="0" containsNumber="1" containsInteger="1" minValue="80" maxValue="420"/>
    </cacheField>
    <cacheField name="Profit" numFmtId="0">
      <sharedItems containsSemiMixedTypes="0" containsString="0" containsNumber="1" containsInteger="1" minValue="40" maxValue="210"/>
    </cacheField>
    <cacheField name="Margin" numFmtId="9">
      <sharedItems containsSemiMixedTypes="0" containsString="0" containsNumber="1" minValue="0.33" maxValue="0.4"/>
    </cacheField>
    <cacheField name="Customer_Type" numFmtId="0">
      <sharedItems/>
    </cacheField>
  </cacheFields>
  <extLst>
    <ext xmlns:x14="http://schemas.microsoft.com/office/spreadsheetml/2009/9/main" uri="{725AE2AE-9491-48be-B2B4-4EB974FC3084}">
      <x14:pivotCacheDefinition pivotCacheId="12077137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s v="T001"/>
    <d v="2025-01-03T00:00:00"/>
    <x v="0"/>
    <x v="0"/>
    <x v="0"/>
    <n v="5"/>
    <n v="120"/>
    <n v="80"/>
    <n v="600"/>
    <n v="400"/>
    <n v="200"/>
    <n v="0.33"/>
    <s v="VIP"/>
  </r>
  <r>
    <s v="T002"/>
    <d v="2025-01-05T00:00:00"/>
    <x v="1"/>
    <x v="1"/>
    <x v="1"/>
    <n v="2"/>
    <n v="300"/>
    <n v="200"/>
    <n v="600"/>
    <n v="400"/>
    <n v="200"/>
    <n v="0.33"/>
    <s v="VIP"/>
  </r>
  <r>
    <s v="T003"/>
    <d v="2025-01-08T00:00:00"/>
    <x v="2"/>
    <x v="2"/>
    <x v="2"/>
    <n v="10"/>
    <n v="50"/>
    <n v="30"/>
    <n v="500"/>
    <n v="300"/>
    <n v="200"/>
    <n v="0.4"/>
    <s v="Standard"/>
  </r>
  <r>
    <s v="T004"/>
    <d v="2025-01-10T00:00:00"/>
    <x v="0"/>
    <x v="2"/>
    <x v="0"/>
    <n v="3"/>
    <n v="50"/>
    <n v="30"/>
    <n v="150"/>
    <n v="90"/>
    <n v="60"/>
    <n v="0.4"/>
    <s v="Standard"/>
  </r>
  <r>
    <s v="T005"/>
    <d v="2025-01-12T00:00:00"/>
    <x v="3"/>
    <x v="0"/>
    <x v="3"/>
    <n v="1"/>
    <n v="120"/>
    <n v="80"/>
    <n v="120"/>
    <n v="80"/>
    <n v="40"/>
    <n v="0.33"/>
    <s v="Standard"/>
  </r>
  <r>
    <s v="T006"/>
    <d v="2025-01-13T00:00:00"/>
    <x v="4"/>
    <x v="3"/>
    <x v="1"/>
    <n v="7"/>
    <n v="90"/>
    <n v="60"/>
    <n v="630"/>
    <n v="420"/>
    <n v="210"/>
    <n v="0.33"/>
    <s v="VIP"/>
  </r>
  <r>
    <s v="T007"/>
    <d v="2025-01-15T00:00:00"/>
    <x v="1"/>
    <x v="0"/>
    <x v="1"/>
    <n v="4"/>
    <n v="120"/>
    <n v="80"/>
    <n v="480"/>
    <n v="320"/>
    <n v="160"/>
    <n v="0.33"/>
    <s v="Standard"/>
  </r>
  <r>
    <s v="T008"/>
    <d v="2025-01-16T00:00:00"/>
    <x v="2"/>
    <x v="1"/>
    <x v="2"/>
    <n v="1"/>
    <n v="300"/>
    <n v="200"/>
    <n v="300"/>
    <n v="200"/>
    <n v="100"/>
    <n v="0.33"/>
    <s v="Standard"/>
  </r>
  <r>
    <s v="T009"/>
    <d v="2025-01-18T00:00:00"/>
    <x v="3"/>
    <x v="3"/>
    <x v="3"/>
    <n v="6"/>
    <n v="90"/>
    <n v="60"/>
    <n v="540"/>
    <n v="360"/>
    <n v="180"/>
    <n v="0.33"/>
    <s v="VIP"/>
  </r>
  <r>
    <s v="T010"/>
    <d v="2025-01-20T00:00:00"/>
    <x v="4"/>
    <x v="2"/>
    <x v="0"/>
    <n v="8"/>
    <n v="50"/>
    <n v="30"/>
    <n v="400"/>
    <n v="240"/>
    <n v="160"/>
    <n v="0.4"/>
    <s v="Standard"/>
  </r>
  <r>
    <s v="T011"/>
    <d v="2025-01-21T00:00:00"/>
    <x v="0"/>
    <x v="1"/>
    <x v="0"/>
    <n v="2"/>
    <n v="300"/>
    <n v="200"/>
    <n v="600"/>
    <n v="400"/>
    <n v="200"/>
    <n v="0.33"/>
    <s v="VIP"/>
  </r>
  <r>
    <s v="T012"/>
    <d v="2025-01-22T00:00:00"/>
    <x v="2"/>
    <x v="0"/>
    <x v="2"/>
    <n v="3"/>
    <n v="120"/>
    <n v="80"/>
    <n v="360"/>
    <n v="240"/>
    <n v="120"/>
    <n v="0.33"/>
    <s v="Standard"/>
  </r>
  <r>
    <s v="T013"/>
    <d v="2025-01-23T00:00:00"/>
    <x v="1"/>
    <x v="3"/>
    <x v="1"/>
    <n v="5"/>
    <n v="90"/>
    <n v="60"/>
    <n v="450"/>
    <n v="300"/>
    <n v="150"/>
    <n v="0.33"/>
    <s v="Standard"/>
  </r>
  <r>
    <s v="T014"/>
    <d v="2025-01-24T00:00:00"/>
    <x v="3"/>
    <x v="2"/>
    <x v="3"/>
    <n v="9"/>
    <n v="50"/>
    <n v="30"/>
    <n v="450"/>
    <n v="270"/>
    <n v="180"/>
    <n v="0.4"/>
    <s v="Standard"/>
  </r>
  <r>
    <s v="T015"/>
    <d v="2025-01-25T00:00:00"/>
    <x v="4"/>
    <x v="0"/>
    <x v="1"/>
    <n v="2"/>
    <n v="120"/>
    <n v="80"/>
    <n v="240"/>
    <n v="160"/>
    <n v="80"/>
    <n v="0.33"/>
    <s v="Stand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687939-79F0-4731-B88E-58BCA49317B7}" name="PivotTable2"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B11:C17" firstHeaderRow="1" firstDataRow="1" firstDataCol="1"/>
  <pivotFields count="13">
    <pivotField showAll="0"/>
    <pivotField numFmtId="14" showAll="0"/>
    <pivotField axis="axisRow" showAll="0" measureFilter="1" sortType="descending">
      <items count="6">
        <item x="0"/>
        <item x="1"/>
        <item x="2"/>
        <item x="3"/>
        <item x="4"/>
        <item t="default"/>
      </items>
      <autoSortScope>
        <pivotArea dataOnly="0" outline="0" fieldPosition="0">
          <references count="1">
            <reference field="4294967294" count="1" selected="0">
              <x v="0"/>
            </reference>
          </references>
        </pivotArea>
      </autoSortScope>
    </pivotField>
    <pivotField showAll="0"/>
    <pivotField showAll="0">
      <items count="5">
        <item x="2"/>
        <item x="0"/>
        <item x="1"/>
        <item x="3"/>
        <item t="default"/>
      </items>
    </pivotField>
    <pivotField showAll="0"/>
    <pivotField showAll="0"/>
    <pivotField showAll="0"/>
    <pivotField dataField="1" showAll="0"/>
    <pivotField showAll="0"/>
    <pivotField showAll="0"/>
    <pivotField numFmtId="9" showAll="0"/>
    <pivotField showAll="0"/>
  </pivotFields>
  <rowFields count="1">
    <field x="2"/>
  </rowFields>
  <rowItems count="6">
    <i>
      <x v="1"/>
    </i>
    <i>
      <x/>
    </i>
    <i>
      <x v="4"/>
    </i>
    <i>
      <x v="2"/>
    </i>
    <i>
      <x v="3"/>
    </i>
    <i t="grand">
      <x/>
    </i>
  </rowItems>
  <colItems count="1">
    <i/>
  </colItems>
  <dataFields count="1">
    <dataField name="Sum of Revenue" fld="8" baseField="0" baseItem="0"/>
  </dataFields>
  <chartFormats count="1">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0FAEE0-D816-4904-A4A2-6EF6E813C4F8}" name="Pivo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3:C8" firstHeaderRow="1" firstDataRow="1" firstDataCol="1"/>
  <pivotFields count="13">
    <pivotField showAll="0"/>
    <pivotField numFmtId="14" showAll="0"/>
    <pivotField showAll="0"/>
    <pivotField showAll="0">
      <items count="5">
        <item x="0"/>
        <item x="2"/>
        <item x="1"/>
        <item x="3"/>
        <item t="default"/>
      </items>
    </pivotField>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numFmtId="9" showAll="0"/>
    <pivotField showAll="0"/>
  </pivotFields>
  <rowFields count="1">
    <field x="4"/>
  </rowFields>
  <rowItems count="5">
    <i>
      <x v="2"/>
    </i>
    <i>
      <x v="1"/>
    </i>
    <i>
      <x/>
    </i>
    <i>
      <x v="3"/>
    </i>
    <i t="grand">
      <x/>
    </i>
  </rowItems>
  <colItems count="1">
    <i/>
  </colItems>
  <dataFields count="1">
    <dataField name="Sum of Revenue" fld="8"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AAED1C42-BC77-404A-98BD-ECE9DCD09C24}" autoFormatId="16" applyNumberFormats="0" applyBorderFormats="0" applyFontFormats="0" applyPatternFormats="0" applyAlignmentFormats="0" applyWidthHeightFormats="0">
  <queryTableRefresh nextId="14">
    <queryTableFields count="13">
      <queryTableField id="1" name="TransactionID" tableColumnId="1"/>
      <queryTableField id="2" name="Date" tableColumnId="2"/>
      <queryTableField id="3" name="CustomerID" tableColumnId="3"/>
      <queryTableField id="4" name="ProductID" tableColumnId="4"/>
      <queryTableField id="5" name="Region" tableColumnId="5"/>
      <queryTableField id="6" name="Quantity" tableColumnId="6"/>
      <queryTableField id="7" name="UnitPrice" tableColumnId="7"/>
      <queryTableField id="8" name="CostPerUnit" tableColumnId="8"/>
      <queryTableField id="9" name="Revenue" tableColumnId="9"/>
      <queryTableField id="10" name="Cost" tableColumnId="10"/>
      <queryTableField id="11" name="Profit" tableColumnId="11"/>
      <queryTableField id="12" name="Margin" tableColumnId="12"/>
      <queryTableField id="13" name="Customer_Type"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4A7C3F04-09D3-49E7-B319-6B1B6388B826}" autoFormatId="16" applyNumberFormats="0" applyBorderFormats="0" applyFontFormats="0" applyPatternFormats="0" applyAlignmentFormats="0" applyWidthHeightFormats="0">
  <queryTableRefresh nextId="4">
    <queryTableFields count="3">
      <queryTableField id="1" name="ProductID" tableColumnId="1"/>
      <queryTableField id="2" name="ProductName" tableColumnId="2"/>
      <queryTableField id="3" name="Category"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 xr16:uid="{C150222B-E8CC-40CC-B26E-8DB62FBC03B2}" autoFormatId="16" applyNumberFormats="0" applyBorderFormats="0" applyFontFormats="0" applyPatternFormats="0" applyAlignmentFormats="0" applyWidthHeightFormats="0">
  <queryTableRefresh nextId="5">
    <queryTableFields count="4">
      <queryTableField id="1" name="CustomerID" tableColumnId="1"/>
      <queryTableField id="2" name="CustomerName" tableColumnId="2"/>
      <queryTableField id="3" name="City" tableColumnId="3"/>
      <queryTableField id="4" name="Regio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65CC0901-5793-48F3-9C7C-4E7F7A781A22}" autoFormatId="16" applyNumberFormats="0" applyBorderFormats="0" applyFontFormats="0" applyPatternFormats="0" applyAlignmentFormats="0" applyWidthHeightFormats="0">
  <queryTableRefresh nextId="16">
    <queryTableFields count="8">
      <queryTableField id="1" name="TransactionID" tableColumnId="1"/>
      <queryTableField id="2" name="Date" tableColumnId="2"/>
      <queryTableField id="3" name="CustomerID" tableColumnId="3"/>
      <queryTableField id="4" name="ProductID" tableColumnId="4"/>
      <queryTableField id="5" name="Region" tableColumnId="5"/>
      <queryTableField id="6" name="Quantity" tableColumnId="6"/>
      <queryTableField id="7" name="UnitPrice" tableColumnId="7"/>
      <queryTableField id="8" name="CostPerUnit"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ID" xr10:uid="{954A6AB2-A979-4A51-B104-873F848FC3B8}" sourceName="ProductID">
  <pivotTables>
    <pivotTable tabId="7" name="PivotTable1"/>
  </pivotTables>
  <data>
    <tabular pivotCacheId="1207713700">
      <items count="4">
        <i x="0"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B217260-E466-4E87-A521-ABFFB67B3050}" sourceName="Region">
  <pivotTables>
    <pivotTable tabId="7" name="PivotTable1"/>
  </pivotTables>
  <data>
    <tabular pivotCacheId="1207713700">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237A3B0-FB7B-4BAF-869F-1DDC7DC821B7}" sourceName="Region">
  <pivotTables>
    <pivotTable tabId="7" name="PivotTable2"/>
  </pivotTables>
  <data>
    <tabular pivotCacheId="1207713700">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ID" xr10:uid="{59D9A5BC-E67A-46F9-A868-49D8DCC4ABF8}" cache="Slicer_ProductID" caption="ProductID" rowHeight="247650"/>
  <slicer name="Region" xr10:uid="{ECC8F1AC-FBF4-454E-9FB1-8FEA93A10A9E}" cache="Slicer_Region" caption="Region" rowHeight="247650"/>
  <slicer name="Region 1" xr10:uid="{4A2F5049-2A59-413E-8697-1F9FDC034562}" cache="Slicer_Region1" caption="Region"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5A4B1F-0550-481D-9DA5-EDEF8A83A749}" name="Sales_Cleaned" displayName="Sales_Cleaned" ref="A1:M16" tableType="queryTable" totalsRowShown="0">
  <tableColumns count="13">
    <tableColumn id="1" xr3:uid="{09C22A1F-5304-404C-92D1-BAA7C018164B}" uniqueName="1" name="TransactionID" queryTableFieldId="1" dataDxfId="23"/>
    <tableColumn id="2" xr3:uid="{35A29CB8-2ADF-4609-8DCC-3C02DCB8B73D}" uniqueName="2" name="Date" queryTableFieldId="2" dataDxfId="2"/>
    <tableColumn id="3" xr3:uid="{A440C208-1689-44E0-BD8E-C1136AE0AA02}" uniqueName="3" name="CustomerID" queryTableFieldId="3" dataDxfId="22"/>
    <tableColumn id="4" xr3:uid="{20C122C0-FAFC-4E7B-BB34-7A42D6A47CD2}" uniqueName="4" name="ProductID" queryTableFieldId="4" dataDxfId="21"/>
    <tableColumn id="5" xr3:uid="{C44C2DDA-9317-429D-978C-0D0E68429FD3}" uniqueName="5" name="Region" queryTableFieldId="5" dataDxfId="20"/>
    <tableColumn id="6" xr3:uid="{56F617B3-124D-43E2-952D-9FDEB23285FA}" uniqueName="6" name="Quantity" queryTableFieldId="6"/>
    <tableColumn id="7" xr3:uid="{EAA05DD1-1D57-4CA7-8D04-4DEDB8141267}" uniqueName="7" name="UnitPrice" queryTableFieldId="7"/>
    <tableColumn id="8" xr3:uid="{11F023AB-B3A7-44CC-8F63-1C7C71DEA350}" uniqueName="8" name="CostPerUnit" queryTableFieldId="8"/>
    <tableColumn id="9" xr3:uid="{67111391-2F25-4726-8869-F86A70E800F1}" uniqueName="9" name="Revenue" queryTableFieldId="9"/>
    <tableColumn id="10" xr3:uid="{7BA9E4D5-E6CA-4600-9AFB-3571E1FC0EA4}" uniqueName="10" name="Cost" queryTableFieldId="10"/>
    <tableColumn id="11" xr3:uid="{95CADE58-0B13-454D-8CEF-871F063AEC20}" uniqueName="11" name="Profit" queryTableFieldId="11"/>
    <tableColumn id="12" xr3:uid="{E5BF2FA5-A948-494A-8728-3B6163830A27}" uniqueName="12" name="Margin" queryTableFieldId="12" dataDxfId="1"/>
    <tableColumn id="13" xr3:uid="{ACB8B2C9-353A-4FF7-8248-520B4ACD72F9}" uniqueName="13" name="Customer_Type" queryTableField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2A65E8-D68C-4DB4-B095-9AB0677CEDF5}" name="products" displayName="products" ref="A1:C5" tableType="queryTable" totalsRowShown="0">
  <autoFilter ref="A1:C5" xr:uid="{602A65E8-D68C-4DB4-B095-9AB0677CEDF5}"/>
  <tableColumns count="3">
    <tableColumn id="1" xr3:uid="{9F3E230F-E81B-427E-9961-AD44B9DA1984}" uniqueName="1" name="ProductID" queryTableFieldId="1" dataDxfId="19"/>
    <tableColumn id="2" xr3:uid="{39709439-31FE-492D-81C0-D559B66DB46C}" uniqueName="2" name="ProductName" queryTableFieldId="2" dataDxfId="18"/>
    <tableColumn id="3" xr3:uid="{6923C002-859A-419E-9FFA-28B442BE896F}" uniqueName="3" name="Category" queryTableFieldId="3"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A9F737-016A-4423-A5C8-30B76DDC3DEC}" name="Customer" displayName="Customer" ref="A1:D6" tableType="queryTable" totalsRowShown="0">
  <autoFilter ref="A1:D6" xr:uid="{C8A9F737-016A-4423-A5C8-30B76DDC3DEC}"/>
  <tableColumns count="4">
    <tableColumn id="1" xr3:uid="{A7F1D6F4-2502-4C9D-BD36-CF4CD5E1B525}" uniqueName="1" name="CustomerID" queryTableFieldId="1" dataDxfId="16"/>
    <tableColumn id="2" xr3:uid="{281F3978-C1A7-44E9-89B2-565F823CA2F4}" uniqueName="2" name="CustomerName" queryTableFieldId="2" dataDxfId="15"/>
    <tableColumn id="3" xr3:uid="{8D132EB8-CD17-4347-B3F1-9338A38123B3}" uniqueName="3" name="City" queryTableFieldId="3" dataDxfId="14"/>
    <tableColumn id="4" xr3:uid="{8879069B-D983-4144-8EF3-A8F5702EDC70}" uniqueName="4" name="Region" queryTableFieldId="4"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34E4D8-B58F-4F4C-A526-155EAB282A5E}" name="transactions" displayName="transactions" ref="A1:H16" tableType="queryTable" totalsRowShown="0">
  <autoFilter ref="A1:H16" xr:uid="{0434E4D8-B58F-4F4C-A526-155EAB282A5E}"/>
  <tableColumns count="8">
    <tableColumn id="1" xr3:uid="{E091E8CD-67AB-4645-BC30-84659353004A}" uniqueName="1" name="TransactionID" queryTableFieldId="1" dataDxfId="12"/>
    <tableColumn id="2" xr3:uid="{2AB8B42C-1055-4A4A-9E12-38D8A75A475A}" uniqueName="2" name="Date" queryTableFieldId="2" dataDxfId="0"/>
    <tableColumn id="3" xr3:uid="{78C2A63B-A553-45DE-BBB4-AC102EC6B080}" uniqueName="3" name="CustomerID" queryTableFieldId="3" dataDxfId="11"/>
    <tableColumn id="4" xr3:uid="{B196AAE6-37BD-417F-A753-2A31403FF6F7}" uniqueName="4" name="ProductID" queryTableFieldId="4" dataDxfId="10"/>
    <tableColumn id="5" xr3:uid="{90EBC5DA-7952-4BC6-9825-3057C50FA2D8}" uniqueName="5" name="Region" queryTableFieldId="5" dataDxfId="9"/>
    <tableColumn id="6" xr3:uid="{7F59E5E5-4166-452D-9A10-FB47E7AC2ABE}" uniqueName="6" name="Quantity" queryTableFieldId="6"/>
    <tableColumn id="7" xr3:uid="{DC03ED6C-761D-4488-BE54-D540F1494A71}" uniqueName="7" name="UnitPrice" queryTableFieldId="7"/>
    <tableColumn id="8" xr3:uid="{E8A91B4D-0FBE-4079-84EA-E344E0419016}" uniqueName="8" name="CostPerUnit"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DD101-F279-4737-B0BE-F5E1B5CF48C9}">
  <sheetPr codeName="Sheet6"/>
  <dimension ref="A1:B4"/>
  <sheetViews>
    <sheetView tabSelected="1" workbookViewId="0">
      <selection activeCell="H2" sqref="H2"/>
    </sheetView>
  </sheetViews>
  <sheetFormatPr defaultRowHeight="14.4" x14ac:dyDescent="0.3"/>
  <cols>
    <col min="1" max="1" width="15.77734375" bestFit="1" customWidth="1"/>
    <col min="2" max="2" width="11.21875" bestFit="1" customWidth="1"/>
    <col min="3" max="3" width="14.109375" bestFit="1" customWidth="1"/>
  </cols>
  <sheetData>
    <row r="1" spans="1:2" x14ac:dyDescent="0.3">
      <c r="A1" s="14" t="s">
        <v>81</v>
      </c>
      <c r="B1" s="16">
        <f>SUM(Sales_Cleaned!I:I)</f>
        <v>6420</v>
      </c>
    </row>
    <row r="2" spans="1:2" x14ac:dyDescent="0.3">
      <c r="A2" s="14" t="s">
        <v>82</v>
      </c>
      <c r="B2" s="16">
        <f>TARGET_MONTHLY_REVENUE</f>
        <v>10000</v>
      </c>
    </row>
    <row r="3" spans="1:2" x14ac:dyDescent="0.3">
      <c r="A3" s="14" t="s">
        <v>83</v>
      </c>
      <c r="B3" s="16">
        <f>B1 - B2</f>
        <v>-3580</v>
      </c>
    </row>
    <row r="4" spans="1:2" x14ac:dyDescent="0.3">
      <c r="A4" s="15" t="s">
        <v>84</v>
      </c>
      <c r="B4" s="14" t="str">
        <f>IF(B1 &gt;= B2, "On Target", "Below Target")</f>
        <v>Below Target</v>
      </c>
    </row>
  </sheetData>
  <conditionalFormatting sqref="B4">
    <cfRule type="cellIs" dxfId="8" priority="1" operator="equal">
      <formula>"On Target"</formula>
    </cfRule>
    <cfRule type="cellIs" dxfId="7" priority="2" operator="equal">
      <formula>"Below Target"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fresh_Dashboard">
                <anchor moveWithCells="1" sizeWithCells="1">
                  <from>
                    <xdr:col>4</xdr:col>
                    <xdr:colOff>129540</xdr:colOff>
                    <xdr:row>1</xdr:row>
                    <xdr:rowOff>0</xdr:rowOff>
                  </from>
                  <to>
                    <xdr:col>6</xdr:col>
                    <xdr:colOff>160020</xdr:colOff>
                    <xdr:row>2</xdr:row>
                    <xdr:rowOff>175260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7EE63-17C5-494A-82F5-27772C8CD80C}">
  <sheetPr codeName="Sheet5"/>
  <dimension ref="B3:C17"/>
  <sheetViews>
    <sheetView workbookViewId="0">
      <selection activeCell="E13" sqref="E13"/>
    </sheetView>
  </sheetViews>
  <sheetFormatPr defaultRowHeight="14.4" x14ac:dyDescent="0.3"/>
  <cols>
    <col min="2" max="2" width="12.44140625" bestFit="1" customWidth="1"/>
    <col min="3" max="3" width="14.109375" bestFit="1" customWidth="1"/>
  </cols>
  <sheetData>
    <row r="3" spans="2:3" x14ac:dyDescent="0.3">
      <c r="B3" s="6" t="s">
        <v>64</v>
      </c>
      <c r="C3" t="s">
        <v>66</v>
      </c>
    </row>
    <row r="4" spans="2:3" x14ac:dyDescent="0.3">
      <c r="B4" s="7" t="s">
        <v>21</v>
      </c>
      <c r="C4" s="17">
        <v>2400</v>
      </c>
    </row>
    <row r="5" spans="2:3" x14ac:dyDescent="0.3">
      <c r="B5" s="7" t="s">
        <v>16</v>
      </c>
      <c r="C5" s="17">
        <v>1750</v>
      </c>
    </row>
    <row r="6" spans="2:3" x14ac:dyDescent="0.3">
      <c r="B6" s="7" t="s">
        <v>25</v>
      </c>
      <c r="C6" s="17">
        <v>1160</v>
      </c>
    </row>
    <row r="7" spans="2:3" x14ac:dyDescent="0.3">
      <c r="B7" s="7" t="s">
        <v>30</v>
      </c>
      <c r="C7" s="17">
        <v>1110</v>
      </c>
    </row>
    <row r="8" spans="2:3" x14ac:dyDescent="0.3">
      <c r="B8" s="7" t="s">
        <v>65</v>
      </c>
      <c r="C8" s="17">
        <v>6420</v>
      </c>
    </row>
    <row r="11" spans="2:3" x14ac:dyDescent="0.3">
      <c r="B11" s="6" t="s">
        <v>64</v>
      </c>
      <c r="C11" t="s">
        <v>66</v>
      </c>
    </row>
    <row r="12" spans="2:3" x14ac:dyDescent="0.3">
      <c r="B12" s="7" t="s">
        <v>19</v>
      </c>
      <c r="C12" s="17">
        <v>1530</v>
      </c>
    </row>
    <row r="13" spans="2:3" x14ac:dyDescent="0.3">
      <c r="B13" s="7" t="s">
        <v>14</v>
      </c>
      <c r="C13" s="17">
        <v>1350</v>
      </c>
    </row>
    <row r="14" spans="2:3" x14ac:dyDescent="0.3">
      <c r="B14" s="7" t="s">
        <v>32</v>
      </c>
      <c r="C14" s="17">
        <v>1270</v>
      </c>
    </row>
    <row r="15" spans="2:3" x14ac:dyDescent="0.3">
      <c r="B15" s="7" t="s">
        <v>23</v>
      </c>
      <c r="C15" s="17">
        <v>1160</v>
      </c>
    </row>
    <row r="16" spans="2:3" x14ac:dyDescent="0.3">
      <c r="B16" s="7" t="s">
        <v>29</v>
      </c>
      <c r="C16" s="17">
        <v>1110</v>
      </c>
    </row>
    <row r="17" spans="2:3" x14ac:dyDescent="0.3">
      <c r="B17" s="7" t="s">
        <v>65</v>
      </c>
      <c r="C17" s="17">
        <v>6420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8DBF2-97FB-4ABC-B892-019F0D63641B}">
  <sheetPr codeName="Sheet4"/>
  <dimension ref="A1:M16"/>
  <sheetViews>
    <sheetView workbookViewId="0">
      <selection activeCell="N11" sqref="N11"/>
    </sheetView>
  </sheetViews>
  <sheetFormatPr defaultRowHeight="14.4" x14ac:dyDescent="0.3"/>
  <cols>
    <col min="1" max="1" width="12.44140625" bestFit="1" customWidth="1"/>
    <col min="2" max="2" width="10.33203125" bestFit="1" customWidth="1"/>
    <col min="3" max="3" width="10.88671875" bestFit="1" customWidth="1"/>
    <col min="4" max="4" width="9.33203125" bestFit="1" customWidth="1"/>
    <col min="5" max="5" width="6.5546875" bestFit="1" customWidth="1"/>
    <col min="6" max="6" width="8.109375" bestFit="1" customWidth="1"/>
    <col min="7" max="7" width="8.77734375" bestFit="1" customWidth="1"/>
    <col min="8" max="8" width="11" bestFit="1" customWidth="1"/>
    <col min="9" max="9" width="8" bestFit="1" customWidth="1"/>
    <col min="10" max="10" width="4.77734375" bestFit="1" customWidth="1"/>
    <col min="11" max="11" width="5.5546875" bestFit="1" customWidth="1"/>
    <col min="12" max="12" width="6.5546875" bestFit="1" customWidth="1"/>
    <col min="13" max="13" width="13.8867187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t="s">
        <v>13</v>
      </c>
      <c r="B2" s="1">
        <v>45660</v>
      </c>
      <c r="C2" t="s">
        <v>14</v>
      </c>
      <c r="D2" t="s">
        <v>15</v>
      </c>
      <c r="E2" t="s">
        <v>16</v>
      </c>
      <c r="F2">
        <v>5</v>
      </c>
      <c r="G2">
        <v>120</v>
      </c>
      <c r="H2">
        <v>80</v>
      </c>
      <c r="I2">
        <v>600</v>
      </c>
      <c r="J2">
        <v>400</v>
      </c>
      <c r="K2">
        <v>200</v>
      </c>
      <c r="L2" s="5">
        <v>0.33</v>
      </c>
      <c r="M2" t="s">
        <v>17</v>
      </c>
    </row>
    <row r="3" spans="1:13" x14ac:dyDescent="0.3">
      <c r="A3" t="s">
        <v>18</v>
      </c>
      <c r="B3" s="1">
        <v>45662</v>
      </c>
      <c r="C3" t="s">
        <v>19</v>
      </c>
      <c r="D3" t="s">
        <v>20</v>
      </c>
      <c r="E3" t="s">
        <v>21</v>
      </c>
      <c r="F3">
        <v>2</v>
      </c>
      <c r="G3">
        <v>300</v>
      </c>
      <c r="H3">
        <v>200</v>
      </c>
      <c r="I3">
        <v>600</v>
      </c>
      <c r="J3">
        <v>400</v>
      </c>
      <c r="K3">
        <v>200</v>
      </c>
      <c r="L3" s="5">
        <v>0.33</v>
      </c>
      <c r="M3" t="s">
        <v>17</v>
      </c>
    </row>
    <row r="4" spans="1:13" x14ac:dyDescent="0.3">
      <c r="A4" t="s">
        <v>22</v>
      </c>
      <c r="B4" s="1">
        <v>45665</v>
      </c>
      <c r="C4" t="s">
        <v>23</v>
      </c>
      <c r="D4" t="s">
        <v>24</v>
      </c>
      <c r="E4" t="s">
        <v>25</v>
      </c>
      <c r="F4">
        <v>10</v>
      </c>
      <c r="G4">
        <v>50</v>
      </c>
      <c r="H4">
        <v>30</v>
      </c>
      <c r="I4">
        <v>500</v>
      </c>
      <c r="J4">
        <v>300</v>
      </c>
      <c r="K4">
        <v>200</v>
      </c>
      <c r="L4" s="5">
        <v>0.4</v>
      </c>
      <c r="M4" t="s">
        <v>26</v>
      </c>
    </row>
    <row r="5" spans="1:13" x14ac:dyDescent="0.3">
      <c r="A5" t="s">
        <v>27</v>
      </c>
      <c r="B5" s="1">
        <v>45667</v>
      </c>
      <c r="C5" t="s">
        <v>14</v>
      </c>
      <c r="D5" t="s">
        <v>24</v>
      </c>
      <c r="E5" t="s">
        <v>16</v>
      </c>
      <c r="F5">
        <v>3</v>
      </c>
      <c r="G5">
        <v>50</v>
      </c>
      <c r="H5">
        <v>30</v>
      </c>
      <c r="I5">
        <v>150</v>
      </c>
      <c r="J5">
        <v>90</v>
      </c>
      <c r="K5">
        <v>60</v>
      </c>
      <c r="L5" s="5">
        <v>0.4</v>
      </c>
      <c r="M5" t="s">
        <v>26</v>
      </c>
    </row>
    <row r="6" spans="1:13" x14ac:dyDescent="0.3">
      <c r="A6" t="s">
        <v>28</v>
      </c>
      <c r="B6" s="1">
        <v>45669</v>
      </c>
      <c r="C6" t="s">
        <v>29</v>
      </c>
      <c r="D6" t="s">
        <v>15</v>
      </c>
      <c r="E6" t="s">
        <v>30</v>
      </c>
      <c r="F6">
        <v>1</v>
      </c>
      <c r="G6">
        <v>120</v>
      </c>
      <c r="H6">
        <v>80</v>
      </c>
      <c r="I6">
        <v>120</v>
      </c>
      <c r="J6">
        <v>80</v>
      </c>
      <c r="K6">
        <v>40</v>
      </c>
      <c r="L6" s="5">
        <v>0.33</v>
      </c>
      <c r="M6" t="s">
        <v>26</v>
      </c>
    </row>
    <row r="7" spans="1:13" x14ac:dyDescent="0.3">
      <c r="A7" t="s">
        <v>31</v>
      </c>
      <c r="B7" s="1">
        <v>45670</v>
      </c>
      <c r="C7" t="s">
        <v>32</v>
      </c>
      <c r="D7" t="s">
        <v>33</v>
      </c>
      <c r="E7" t="s">
        <v>21</v>
      </c>
      <c r="F7">
        <v>7</v>
      </c>
      <c r="G7">
        <v>90</v>
      </c>
      <c r="H7">
        <v>60</v>
      </c>
      <c r="I7">
        <v>630</v>
      </c>
      <c r="J7">
        <v>420</v>
      </c>
      <c r="K7">
        <v>210</v>
      </c>
      <c r="L7" s="5">
        <v>0.33</v>
      </c>
      <c r="M7" t="s">
        <v>17</v>
      </c>
    </row>
    <row r="8" spans="1:13" x14ac:dyDescent="0.3">
      <c r="A8" t="s">
        <v>34</v>
      </c>
      <c r="B8" s="1">
        <v>45672</v>
      </c>
      <c r="C8" t="s">
        <v>19</v>
      </c>
      <c r="D8" t="s">
        <v>15</v>
      </c>
      <c r="E8" t="s">
        <v>21</v>
      </c>
      <c r="F8">
        <v>4</v>
      </c>
      <c r="G8">
        <v>120</v>
      </c>
      <c r="H8">
        <v>80</v>
      </c>
      <c r="I8">
        <v>480</v>
      </c>
      <c r="J8">
        <v>320</v>
      </c>
      <c r="K8">
        <v>160</v>
      </c>
      <c r="L8" s="5">
        <v>0.33</v>
      </c>
      <c r="M8" t="s">
        <v>26</v>
      </c>
    </row>
    <row r="9" spans="1:13" x14ac:dyDescent="0.3">
      <c r="A9" t="s">
        <v>35</v>
      </c>
      <c r="B9" s="1">
        <v>45673</v>
      </c>
      <c r="C9" t="s">
        <v>23</v>
      </c>
      <c r="D9" t="s">
        <v>20</v>
      </c>
      <c r="E9" t="s">
        <v>25</v>
      </c>
      <c r="F9">
        <v>1</v>
      </c>
      <c r="G9">
        <v>300</v>
      </c>
      <c r="H9">
        <v>200</v>
      </c>
      <c r="I9">
        <v>300</v>
      </c>
      <c r="J9">
        <v>200</v>
      </c>
      <c r="K9">
        <v>100</v>
      </c>
      <c r="L9" s="5">
        <v>0.33</v>
      </c>
      <c r="M9" t="s">
        <v>26</v>
      </c>
    </row>
    <row r="10" spans="1:13" x14ac:dyDescent="0.3">
      <c r="A10" t="s">
        <v>36</v>
      </c>
      <c r="B10" s="1">
        <v>45675</v>
      </c>
      <c r="C10" t="s">
        <v>29</v>
      </c>
      <c r="D10" t="s">
        <v>33</v>
      </c>
      <c r="E10" t="s">
        <v>30</v>
      </c>
      <c r="F10">
        <v>6</v>
      </c>
      <c r="G10">
        <v>90</v>
      </c>
      <c r="H10">
        <v>60</v>
      </c>
      <c r="I10">
        <v>540</v>
      </c>
      <c r="J10">
        <v>360</v>
      </c>
      <c r="K10">
        <v>180</v>
      </c>
      <c r="L10" s="5">
        <v>0.33</v>
      </c>
      <c r="M10" t="s">
        <v>17</v>
      </c>
    </row>
    <row r="11" spans="1:13" x14ac:dyDescent="0.3">
      <c r="A11" t="s">
        <v>37</v>
      </c>
      <c r="B11" s="1">
        <v>45677</v>
      </c>
      <c r="C11" t="s">
        <v>32</v>
      </c>
      <c r="D11" t="s">
        <v>24</v>
      </c>
      <c r="E11" t="s">
        <v>16</v>
      </c>
      <c r="F11">
        <v>8</v>
      </c>
      <c r="G11">
        <v>50</v>
      </c>
      <c r="H11">
        <v>30</v>
      </c>
      <c r="I11">
        <v>400</v>
      </c>
      <c r="J11">
        <v>240</v>
      </c>
      <c r="K11">
        <v>160</v>
      </c>
      <c r="L11" s="5">
        <v>0.4</v>
      </c>
      <c r="M11" t="s">
        <v>26</v>
      </c>
    </row>
    <row r="12" spans="1:13" x14ac:dyDescent="0.3">
      <c r="A12" t="s">
        <v>38</v>
      </c>
      <c r="B12" s="1">
        <v>45678</v>
      </c>
      <c r="C12" t="s">
        <v>14</v>
      </c>
      <c r="D12" t="s">
        <v>20</v>
      </c>
      <c r="E12" t="s">
        <v>16</v>
      </c>
      <c r="F12">
        <v>2</v>
      </c>
      <c r="G12">
        <v>300</v>
      </c>
      <c r="H12">
        <v>200</v>
      </c>
      <c r="I12">
        <v>600</v>
      </c>
      <c r="J12">
        <v>400</v>
      </c>
      <c r="K12">
        <v>200</v>
      </c>
      <c r="L12" s="5">
        <v>0.33</v>
      </c>
      <c r="M12" t="s">
        <v>17</v>
      </c>
    </row>
    <row r="13" spans="1:13" x14ac:dyDescent="0.3">
      <c r="A13" t="s">
        <v>39</v>
      </c>
      <c r="B13" s="1">
        <v>45679</v>
      </c>
      <c r="C13" t="s">
        <v>23</v>
      </c>
      <c r="D13" t="s">
        <v>15</v>
      </c>
      <c r="E13" t="s">
        <v>25</v>
      </c>
      <c r="F13">
        <v>3</v>
      </c>
      <c r="G13">
        <v>120</v>
      </c>
      <c r="H13">
        <v>80</v>
      </c>
      <c r="I13">
        <v>360</v>
      </c>
      <c r="J13">
        <v>240</v>
      </c>
      <c r="K13">
        <v>120</v>
      </c>
      <c r="L13" s="5">
        <v>0.33</v>
      </c>
      <c r="M13" t="s">
        <v>26</v>
      </c>
    </row>
    <row r="14" spans="1:13" x14ac:dyDescent="0.3">
      <c r="A14" t="s">
        <v>40</v>
      </c>
      <c r="B14" s="1">
        <v>45680</v>
      </c>
      <c r="C14" t="s">
        <v>19</v>
      </c>
      <c r="D14" t="s">
        <v>33</v>
      </c>
      <c r="E14" t="s">
        <v>21</v>
      </c>
      <c r="F14">
        <v>5</v>
      </c>
      <c r="G14">
        <v>90</v>
      </c>
      <c r="H14">
        <v>60</v>
      </c>
      <c r="I14">
        <v>450</v>
      </c>
      <c r="J14">
        <v>300</v>
      </c>
      <c r="K14">
        <v>150</v>
      </c>
      <c r="L14" s="5">
        <v>0.33</v>
      </c>
      <c r="M14" t="s">
        <v>26</v>
      </c>
    </row>
    <row r="15" spans="1:13" x14ac:dyDescent="0.3">
      <c r="A15" t="s">
        <v>41</v>
      </c>
      <c r="B15" s="1">
        <v>45681</v>
      </c>
      <c r="C15" t="s">
        <v>29</v>
      </c>
      <c r="D15" t="s">
        <v>24</v>
      </c>
      <c r="E15" t="s">
        <v>30</v>
      </c>
      <c r="F15">
        <v>9</v>
      </c>
      <c r="G15">
        <v>50</v>
      </c>
      <c r="H15">
        <v>30</v>
      </c>
      <c r="I15">
        <v>450</v>
      </c>
      <c r="J15">
        <v>270</v>
      </c>
      <c r="K15">
        <v>180</v>
      </c>
      <c r="L15" s="5">
        <v>0.4</v>
      </c>
      <c r="M15" t="s">
        <v>26</v>
      </c>
    </row>
    <row r="16" spans="1:13" x14ac:dyDescent="0.3">
      <c r="A16" t="s">
        <v>42</v>
      </c>
      <c r="B16" s="1">
        <v>45682</v>
      </c>
      <c r="C16" t="s">
        <v>32</v>
      </c>
      <c r="D16" t="s">
        <v>15</v>
      </c>
      <c r="E16" t="s">
        <v>21</v>
      </c>
      <c r="F16">
        <v>2</v>
      </c>
      <c r="G16">
        <v>120</v>
      </c>
      <c r="H16">
        <v>80</v>
      </c>
      <c r="I16">
        <v>240</v>
      </c>
      <c r="J16">
        <v>160</v>
      </c>
      <c r="K16">
        <v>80</v>
      </c>
      <c r="L16" s="5">
        <v>0.33</v>
      </c>
      <c r="M16" t="s">
        <v>26</v>
      </c>
    </row>
  </sheetData>
  <conditionalFormatting sqref="L2:L16">
    <cfRule type="cellIs" dxfId="6" priority="1" operator="greaterThan">
      <formula>0.37</formula>
    </cfRule>
    <cfRule type="cellIs" dxfId="5" priority="2" operator="lessThan">
      <formula>0.37</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31C8C-3124-42E0-88DB-80990C7AE0D6}">
  <sheetPr codeName="Sheet8"/>
  <dimension ref="A1:M6"/>
  <sheetViews>
    <sheetView workbookViewId="0">
      <selection activeCell="G11" sqref="G11"/>
    </sheetView>
  </sheetViews>
  <sheetFormatPr defaultRowHeight="14.4" x14ac:dyDescent="0.3"/>
  <sheetData>
    <row r="1" spans="1:13" x14ac:dyDescent="0.3">
      <c r="A1" t="s">
        <v>4</v>
      </c>
      <c r="B1" t="s">
        <v>67</v>
      </c>
    </row>
    <row r="2" spans="1:13" x14ac:dyDescent="0.3">
      <c r="A2" t="s">
        <v>21</v>
      </c>
      <c r="B2" t="s">
        <v>68</v>
      </c>
    </row>
    <row r="5" spans="1:13" x14ac:dyDescent="0.3">
      <c r="A5" s="2" t="s">
        <v>0</v>
      </c>
      <c r="B5" s="3" t="s">
        <v>1</v>
      </c>
      <c r="C5" s="3" t="s">
        <v>2</v>
      </c>
      <c r="D5" s="3" t="s">
        <v>3</v>
      </c>
      <c r="E5" s="3" t="s">
        <v>4</v>
      </c>
      <c r="F5" s="3" t="s">
        <v>5</v>
      </c>
      <c r="G5" s="3" t="s">
        <v>6</v>
      </c>
      <c r="H5" s="3" t="s">
        <v>7</v>
      </c>
      <c r="I5" s="3" t="s">
        <v>8</v>
      </c>
      <c r="J5" s="3" t="s">
        <v>9</v>
      </c>
      <c r="K5" s="3" t="s">
        <v>10</v>
      </c>
      <c r="L5" s="3" t="s">
        <v>11</v>
      </c>
      <c r="M5" s="4" t="s">
        <v>12</v>
      </c>
    </row>
    <row r="6" spans="1:13" x14ac:dyDescent="0.3">
      <c r="A6" t="s">
        <v>13</v>
      </c>
      <c r="B6" s="1">
        <v>45660</v>
      </c>
      <c r="C6" t="s">
        <v>14</v>
      </c>
      <c r="D6" t="s">
        <v>15</v>
      </c>
      <c r="E6" t="s">
        <v>16</v>
      </c>
      <c r="F6">
        <v>5</v>
      </c>
      <c r="G6">
        <v>120</v>
      </c>
      <c r="H6">
        <v>80</v>
      </c>
      <c r="I6">
        <v>600</v>
      </c>
      <c r="J6">
        <v>400</v>
      </c>
      <c r="K6">
        <v>200</v>
      </c>
      <c r="L6" s="5">
        <v>0.33</v>
      </c>
      <c r="M6" t="s">
        <v>17</v>
      </c>
    </row>
  </sheetData>
  <conditionalFormatting sqref="L6">
    <cfRule type="cellIs" dxfId="4" priority="1" operator="greaterThan">
      <formula>0.37</formula>
    </cfRule>
    <cfRule type="cellIs" dxfId="3" priority="2" operator="lessThan">
      <formula>0.37</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4FEF1-4B01-4144-B5B1-B1570889042C}">
  <sheetPr codeName="Sheet9"/>
  <dimension ref="A1:D3"/>
  <sheetViews>
    <sheetView workbookViewId="0">
      <selection activeCell="B3" sqref="B3"/>
    </sheetView>
  </sheetViews>
  <sheetFormatPr defaultColWidth="14.88671875" defaultRowHeight="14.4" x14ac:dyDescent="0.3"/>
  <sheetData>
    <row r="1" spans="1:4" x14ac:dyDescent="0.3">
      <c r="A1" s="10" t="s">
        <v>74</v>
      </c>
      <c r="B1" s="10" t="s">
        <v>73</v>
      </c>
      <c r="C1" s="10" t="s">
        <v>69</v>
      </c>
      <c r="D1" s="10" t="s">
        <v>70</v>
      </c>
    </row>
    <row r="2" spans="1:4" x14ac:dyDescent="0.3">
      <c r="A2" s="8" t="s">
        <v>75</v>
      </c>
      <c r="B2" s="8" t="s">
        <v>71</v>
      </c>
      <c r="C2" s="8" t="s">
        <v>14</v>
      </c>
      <c r="D2" s="8" t="str">
        <f>_xlfn.XLOOKUP(C2, 'Customer'!A:A, 'Customer'!B:B, "Not found")</f>
        <v>Alpha Ltd</v>
      </c>
    </row>
    <row r="3" spans="1:4" x14ac:dyDescent="0.3">
      <c r="A3" s="8" t="s">
        <v>76</v>
      </c>
      <c r="B3" s="8" t="s">
        <v>72</v>
      </c>
      <c r="C3" s="8" t="s">
        <v>15</v>
      </c>
      <c r="D3" s="9" t="str">
        <f>INDEX(Products!B:B, MATCH(C3, Products!A:A, 0))</f>
        <v>Premium Laptop</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76E51-2B45-41C4-B8E8-CC30C13F255F}">
  <sheetPr codeName="Sheet2"/>
  <dimension ref="A1:C5"/>
  <sheetViews>
    <sheetView workbookViewId="0">
      <selection activeCell="A3" sqref="A2:C5"/>
    </sheetView>
  </sheetViews>
  <sheetFormatPr defaultRowHeight="14.4" x14ac:dyDescent="0.3"/>
  <cols>
    <col min="1" max="1" width="11.5546875" bestFit="1" customWidth="1"/>
    <col min="2" max="2" width="14.77734375" bestFit="1" customWidth="1"/>
    <col min="3" max="3" width="10.88671875" bestFit="1" customWidth="1"/>
  </cols>
  <sheetData>
    <row r="1" spans="1:3" x14ac:dyDescent="0.3">
      <c r="A1" t="s">
        <v>3</v>
      </c>
      <c r="B1" t="s">
        <v>43</v>
      </c>
      <c r="C1" t="s">
        <v>44</v>
      </c>
    </row>
    <row r="2" spans="1:3" x14ac:dyDescent="0.3">
      <c r="A2" t="s">
        <v>15</v>
      </c>
      <c r="B2" t="s">
        <v>45</v>
      </c>
      <c r="C2" t="s">
        <v>46</v>
      </c>
    </row>
    <row r="3" spans="1:3" x14ac:dyDescent="0.3">
      <c r="A3" t="s">
        <v>24</v>
      </c>
      <c r="B3" t="s">
        <v>47</v>
      </c>
      <c r="C3" t="s">
        <v>48</v>
      </c>
    </row>
    <row r="4" spans="1:3" x14ac:dyDescent="0.3">
      <c r="A4" t="s">
        <v>20</v>
      </c>
      <c r="B4" t="s">
        <v>49</v>
      </c>
      <c r="C4" t="s">
        <v>46</v>
      </c>
    </row>
    <row r="5" spans="1:3" x14ac:dyDescent="0.3">
      <c r="A5" t="s">
        <v>33</v>
      </c>
      <c r="B5" t="s">
        <v>50</v>
      </c>
      <c r="C5" t="s">
        <v>51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65E3E-7A41-428B-99A0-548F19406A45}">
  <sheetPr codeName="Sheet1"/>
  <dimension ref="A1:D6"/>
  <sheetViews>
    <sheetView workbookViewId="0">
      <selection activeCell="C16" sqref="C16"/>
    </sheetView>
  </sheetViews>
  <sheetFormatPr defaultRowHeight="14.4" x14ac:dyDescent="0.3"/>
  <cols>
    <col min="1" max="1" width="13.109375" bestFit="1" customWidth="1"/>
    <col min="2" max="2" width="16.44140625" bestFit="1" customWidth="1"/>
    <col min="3" max="3" width="10.6640625" bestFit="1" customWidth="1"/>
    <col min="4" max="4" width="8.77734375" bestFit="1" customWidth="1"/>
  </cols>
  <sheetData>
    <row r="1" spans="1:4" x14ac:dyDescent="0.3">
      <c r="A1" t="s">
        <v>2</v>
      </c>
      <c r="B1" t="s">
        <v>52</v>
      </c>
      <c r="C1" t="s">
        <v>53</v>
      </c>
      <c r="D1" t="s">
        <v>4</v>
      </c>
    </row>
    <row r="2" spans="1:4" x14ac:dyDescent="0.3">
      <c r="A2" t="s">
        <v>14</v>
      </c>
      <c r="B2" t="s">
        <v>54</v>
      </c>
      <c r="C2" t="s">
        <v>55</v>
      </c>
      <c r="D2" t="s">
        <v>16</v>
      </c>
    </row>
    <row r="3" spans="1:4" x14ac:dyDescent="0.3">
      <c r="A3" t="s">
        <v>19</v>
      </c>
      <c r="B3" t="s">
        <v>56</v>
      </c>
      <c r="C3" t="s">
        <v>57</v>
      </c>
      <c r="D3" t="s">
        <v>21</v>
      </c>
    </row>
    <row r="4" spans="1:4" x14ac:dyDescent="0.3">
      <c r="A4" t="s">
        <v>23</v>
      </c>
      <c r="B4" t="s">
        <v>58</v>
      </c>
      <c r="C4" t="s">
        <v>59</v>
      </c>
      <c r="D4" t="s">
        <v>25</v>
      </c>
    </row>
    <row r="5" spans="1:4" x14ac:dyDescent="0.3">
      <c r="A5" t="s">
        <v>29</v>
      </c>
      <c r="B5" t="s">
        <v>60</v>
      </c>
      <c r="C5" t="s">
        <v>61</v>
      </c>
      <c r="D5" t="s">
        <v>30</v>
      </c>
    </row>
    <row r="6" spans="1:4" x14ac:dyDescent="0.3">
      <c r="A6" t="s">
        <v>32</v>
      </c>
      <c r="B6" t="s">
        <v>62</v>
      </c>
      <c r="C6" t="s">
        <v>63</v>
      </c>
      <c r="D6" t="s">
        <v>21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512A9-BD4D-45F4-BA0D-3C37D4D60EB2}">
  <sheetPr codeName="Sheet3"/>
  <dimension ref="A1:H16"/>
  <sheetViews>
    <sheetView workbookViewId="0">
      <selection activeCell="B9" sqref="A2:H16"/>
    </sheetView>
  </sheetViews>
  <sheetFormatPr defaultRowHeight="14.4" x14ac:dyDescent="0.3"/>
  <cols>
    <col min="1" max="1" width="14.6640625" bestFit="1" customWidth="1"/>
    <col min="2" max="2" width="10.33203125" bestFit="1" customWidth="1"/>
    <col min="3" max="3" width="13.109375" bestFit="1" customWidth="1"/>
    <col min="4" max="4" width="11.5546875" bestFit="1" customWidth="1"/>
    <col min="5" max="5" width="8.77734375" bestFit="1" customWidth="1"/>
    <col min="6" max="6" width="10.33203125" bestFit="1" customWidth="1"/>
    <col min="7" max="7" width="11" bestFit="1" customWidth="1"/>
    <col min="8" max="8" width="13.21875" bestFit="1" customWidth="1"/>
    <col min="9" max="9" width="10.21875" bestFit="1" customWidth="1"/>
    <col min="10" max="10" width="7" bestFit="1" customWidth="1"/>
    <col min="11" max="11" width="7.77734375" bestFit="1" customWidth="1"/>
    <col min="12" max="12" width="8.77734375" bestFit="1" customWidth="1"/>
    <col min="13" max="13" width="16.109375" bestFit="1" customWidth="1"/>
  </cols>
  <sheetData>
    <row r="1" spans="1:8" x14ac:dyDescent="0.3">
      <c r="A1" t="s">
        <v>0</v>
      </c>
      <c r="B1" t="s">
        <v>1</v>
      </c>
      <c r="C1" t="s">
        <v>2</v>
      </c>
      <c r="D1" t="s">
        <v>3</v>
      </c>
      <c r="E1" t="s">
        <v>4</v>
      </c>
      <c r="F1" t="s">
        <v>5</v>
      </c>
      <c r="G1" t="s">
        <v>6</v>
      </c>
      <c r="H1" t="s">
        <v>7</v>
      </c>
    </row>
    <row r="2" spans="1:8" x14ac:dyDescent="0.3">
      <c r="A2" t="s">
        <v>13</v>
      </c>
      <c r="B2" s="1">
        <v>45660</v>
      </c>
      <c r="C2" t="s">
        <v>14</v>
      </c>
      <c r="D2" t="s">
        <v>15</v>
      </c>
      <c r="E2" t="s">
        <v>16</v>
      </c>
      <c r="F2">
        <v>5</v>
      </c>
      <c r="G2">
        <v>120</v>
      </c>
      <c r="H2">
        <v>80</v>
      </c>
    </row>
    <row r="3" spans="1:8" x14ac:dyDescent="0.3">
      <c r="A3" t="s">
        <v>18</v>
      </c>
      <c r="B3" s="1">
        <v>45662</v>
      </c>
      <c r="C3" t="s">
        <v>19</v>
      </c>
      <c r="D3" t="s">
        <v>20</v>
      </c>
      <c r="E3" t="s">
        <v>21</v>
      </c>
      <c r="F3">
        <v>2</v>
      </c>
      <c r="G3">
        <v>300</v>
      </c>
      <c r="H3">
        <v>200</v>
      </c>
    </row>
    <row r="4" spans="1:8" x14ac:dyDescent="0.3">
      <c r="A4" t="s">
        <v>22</v>
      </c>
      <c r="B4" s="1">
        <v>45665</v>
      </c>
      <c r="C4" t="s">
        <v>23</v>
      </c>
      <c r="D4" t="s">
        <v>24</v>
      </c>
      <c r="E4" t="s">
        <v>25</v>
      </c>
      <c r="F4">
        <v>10</v>
      </c>
      <c r="G4">
        <v>50</v>
      </c>
      <c r="H4">
        <v>30</v>
      </c>
    </row>
    <row r="5" spans="1:8" x14ac:dyDescent="0.3">
      <c r="A5" t="s">
        <v>27</v>
      </c>
      <c r="B5" s="1">
        <v>45667</v>
      </c>
      <c r="C5" t="s">
        <v>14</v>
      </c>
      <c r="D5" t="s">
        <v>24</v>
      </c>
      <c r="E5" t="s">
        <v>16</v>
      </c>
      <c r="F5">
        <v>3</v>
      </c>
      <c r="G5">
        <v>50</v>
      </c>
      <c r="H5">
        <v>30</v>
      </c>
    </row>
    <row r="6" spans="1:8" x14ac:dyDescent="0.3">
      <c r="A6" t="s">
        <v>28</v>
      </c>
      <c r="B6" s="1">
        <v>45669</v>
      </c>
      <c r="C6" t="s">
        <v>29</v>
      </c>
      <c r="D6" t="s">
        <v>15</v>
      </c>
      <c r="E6" t="s">
        <v>30</v>
      </c>
      <c r="F6">
        <v>1</v>
      </c>
      <c r="G6">
        <v>120</v>
      </c>
      <c r="H6">
        <v>80</v>
      </c>
    </row>
    <row r="7" spans="1:8" x14ac:dyDescent="0.3">
      <c r="A7" t="s">
        <v>31</v>
      </c>
      <c r="B7" s="1">
        <v>45670</v>
      </c>
      <c r="C7" t="s">
        <v>32</v>
      </c>
      <c r="D7" t="s">
        <v>33</v>
      </c>
      <c r="E7" t="s">
        <v>21</v>
      </c>
      <c r="F7">
        <v>7</v>
      </c>
      <c r="G7">
        <v>90</v>
      </c>
      <c r="H7">
        <v>60</v>
      </c>
    </row>
    <row r="8" spans="1:8" x14ac:dyDescent="0.3">
      <c r="A8" t="s">
        <v>34</v>
      </c>
      <c r="B8" s="1">
        <v>45672</v>
      </c>
      <c r="C8" t="s">
        <v>19</v>
      </c>
      <c r="D8" t="s">
        <v>15</v>
      </c>
      <c r="E8" t="s">
        <v>21</v>
      </c>
      <c r="F8">
        <v>4</v>
      </c>
      <c r="G8">
        <v>120</v>
      </c>
      <c r="H8">
        <v>80</v>
      </c>
    </row>
    <row r="9" spans="1:8" x14ac:dyDescent="0.3">
      <c r="A9" t="s">
        <v>35</v>
      </c>
      <c r="B9" s="1">
        <v>45673</v>
      </c>
      <c r="C9" t="s">
        <v>23</v>
      </c>
      <c r="D9" t="s">
        <v>20</v>
      </c>
      <c r="E9" t="s">
        <v>25</v>
      </c>
      <c r="F9">
        <v>1</v>
      </c>
      <c r="G9">
        <v>300</v>
      </c>
      <c r="H9">
        <v>200</v>
      </c>
    </row>
    <row r="10" spans="1:8" x14ac:dyDescent="0.3">
      <c r="A10" t="s">
        <v>36</v>
      </c>
      <c r="B10" s="1">
        <v>45675</v>
      </c>
      <c r="C10" t="s">
        <v>29</v>
      </c>
      <c r="D10" t="s">
        <v>33</v>
      </c>
      <c r="E10" t="s">
        <v>30</v>
      </c>
      <c r="F10">
        <v>6</v>
      </c>
      <c r="G10">
        <v>90</v>
      </c>
      <c r="H10">
        <v>60</v>
      </c>
    </row>
    <row r="11" spans="1:8" x14ac:dyDescent="0.3">
      <c r="A11" t="s">
        <v>37</v>
      </c>
      <c r="B11" s="1">
        <v>45677</v>
      </c>
      <c r="C11" t="s">
        <v>32</v>
      </c>
      <c r="D11" t="s">
        <v>24</v>
      </c>
      <c r="E11" t="s">
        <v>16</v>
      </c>
      <c r="F11">
        <v>8</v>
      </c>
      <c r="G11">
        <v>50</v>
      </c>
      <c r="H11">
        <v>30</v>
      </c>
    </row>
    <row r="12" spans="1:8" x14ac:dyDescent="0.3">
      <c r="A12" t="s">
        <v>38</v>
      </c>
      <c r="B12" s="1">
        <v>45678</v>
      </c>
      <c r="C12" t="s">
        <v>14</v>
      </c>
      <c r="D12" t="s">
        <v>20</v>
      </c>
      <c r="E12" t="s">
        <v>16</v>
      </c>
      <c r="F12">
        <v>2</v>
      </c>
      <c r="G12">
        <v>300</v>
      </c>
      <c r="H12">
        <v>200</v>
      </c>
    </row>
    <row r="13" spans="1:8" x14ac:dyDescent="0.3">
      <c r="A13" t="s">
        <v>39</v>
      </c>
      <c r="B13" s="1">
        <v>45679</v>
      </c>
      <c r="C13" t="s">
        <v>23</v>
      </c>
      <c r="D13" t="s">
        <v>15</v>
      </c>
      <c r="E13" t="s">
        <v>25</v>
      </c>
      <c r="F13">
        <v>3</v>
      </c>
      <c r="G13">
        <v>120</v>
      </c>
      <c r="H13">
        <v>80</v>
      </c>
    </row>
    <row r="14" spans="1:8" x14ac:dyDescent="0.3">
      <c r="A14" t="s">
        <v>40</v>
      </c>
      <c r="B14" s="1">
        <v>45680</v>
      </c>
      <c r="C14" t="s">
        <v>19</v>
      </c>
      <c r="D14" t="s">
        <v>33</v>
      </c>
      <c r="E14" t="s">
        <v>21</v>
      </c>
      <c r="F14">
        <v>5</v>
      </c>
      <c r="G14">
        <v>90</v>
      </c>
      <c r="H14">
        <v>60</v>
      </c>
    </row>
    <row r="15" spans="1:8" x14ac:dyDescent="0.3">
      <c r="A15" t="s">
        <v>41</v>
      </c>
      <c r="B15" s="1">
        <v>45681</v>
      </c>
      <c r="C15" t="s">
        <v>29</v>
      </c>
      <c r="D15" t="s">
        <v>24</v>
      </c>
      <c r="E15" t="s">
        <v>30</v>
      </c>
      <c r="F15">
        <v>9</v>
      </c>
      <c r="G15">
        <v>50</v>
      </c>
      <c r="H15">
        <v>30</v>
      </c>
    </row>
    <row r="16" spans="1:8" x14ac:dyDescent="0.3">
      <c r="A16" t="s">
        <v>42</v>
      </c>
      <c r="B16" s="1">
        <v>45682</v>
      </c>
      <c r="C16" t="s">
        <v>32</v>
      </c>
      <c r="D16" t="s">
        <v>15</v>
      </c>
      <c r="E16" t="s">
        <v>21</v>
      </c>
      <c r="F16">
        <v>2</v>
      </c>
      <c r="G16">
        <v>120</v>
      </c>
      <c r="H16">
        <v>80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0918A-4783-40DC-96D9-9C320AB73AB9}">
  <sheetPr codeName="Sheet10"/>
  <dimension ref="A1:B4"/>
  <sheetViews>
    <sheetView workbookViewId="0">
      <selection activeCell="D7" sqref="D7"/>
    </sheetView>
  </sheetViews>
  <sheetFormatPr defaultColWidth="24.33203125" defaultRowHeight="14.4" x14ac:dyDescent="0.3"/>
  <cols>
    <col min="1" max="1" width="21.77734375" customWidth="1"/>
    <col min="2" max="2" width="10.6640625" customWidth="1"/>
  </cols>
  <sheetData>
    <row r="1" spans="1:2" x14ac:dyDescent="0.3">
      <c r="A1" s="11" t="s">
        <v>77</v>
      </c>
      <c r="B1" s="13">
        <v>0.2</v>
      </c>
    </row>
    <row r="2" spans="1:2" x14ac:dyDescent="0.3">
      <c r="A2" s="11" t="s">
        <v>78</v>
      </c>
      <c r="B2" s="12">
        <v>10000</v>
      </c>
    </row>
    <row r="3" spans="1:2" x14ac:dyDescent="0.3">
      <c r="A3" s="11" t="s">
        <v>79</v>
      </c>
      <c r="B3" s="13">
        <v>0.35</v>
      </c>
    </row>
    <row r="4" spans="1:2" x14ac:dyDescent="0.3">
      <c r="A4" s="11" t="s">
        <v>80</v>
      </c>
      <c r="B4" s="12">
        <v>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85861E-9526-4BA7-8A8F-E897DBA1FA8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Dashboard</vt:lpstr>
      <vt:lpstr>Pivot_Analysis</vt:lpstr>
      <vt:lpstr>Sales_Cleaned</vt:lpstr>
      <vt:lpstr>Advanced_Filtering</vt:lpstr>
      <vt:lpstr>Lookups</vt:lpstr>
      <vt:lpstr>Products</vt:lpstr>
      <vt:lpstr>Customer</vt:lpstr>
      <vt:lpstr>Transactions</vt:lpstr>
      <vt:lpstr>Calculations</vt:lpstr>
      <vt:lpstr>Advanced_Filtering!Criteria</vt:lpstr>
      <vt:lpstr>Advanced_Filtering!Extract</vt:lpstr>
      <vt:lpstr>TARGET_MONTHLY_REVENUE</vt:lpstr>
      <vt:lpstr>VAT_RATE</vt:lpstr>
      <vt:lpstr>VIP_THRESHOLD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Pryce</dc:creator>
  <cp:lastModifiedBy>Stephen Pryce</cp:lastModifiedBy>
  <dcterms:created xsi:type="dcterms:W3CDTF">2025-12-08T16:18:56Z</dcterms:created>
  <dcterms:modified xsi:type="dcterms:W3CDTF">2025-12-10T19:26:07Z</dcterms:modified>
</cp:coreProperties>
</file>